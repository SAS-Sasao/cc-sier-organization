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summary" sheetId="2" state="visible" r:id="rId2"/>
    <sheet name="_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サービス</t>
        </is>
      </c>
      <c r="B1" s="1" t="inlineStr">
        <is>
          <t>課金項目</t>
        </is>
      </c>
      <c r="C1" s="1" t="inlineStr">
        <is>
          <t>単価USD</t>
        </is>
      </c>
      <c r="D1" s="1" t="inlineStr">
        <is>
          <t>数量</t>
        </is>
      </c>
      <c r="E1" s="1" t="inlineStr">
        <is>
          <t>月額USD</t>
        </is>
      </c>
      <c r="F1" s="1" t="inlineStr">
        <is>
          <t>月額JPY</t>
        </is>
      </c>
    </row>
    <row r="2">
      <c r="A2" s="2" t="inlineStr">
        <is>
          <t>Aurora Serverless v2</t>
        </is>
      </c>
      <c r="B2" s="2" t="inlineStr">
        <is>
          <t>ACU時間</t>
        </is>
      </c>
      <c r="C2" s="3" t="n">
        <v>0.2</v>
      </c>
      <c r="D2" s="2" t="n">
        <v>5840</v>
      </c>
      <c r="E2" s="4">
        <f>C2*D2</f>
        <v/>
      </c>
      <c r="F2" s="5">
        <f>E2*'_assumptions'!$B$2</f>
        <v/>
      </c>
    </row>
    <row r="3">
      <c r="A3" s="2" t="inlineStr">
        <is>
          <t>Aurora</t>
        </is>
      </c>
      <c r="B3" s="2" t="inlineStr">
        <is>
          <t>ストレージGB-月</t>
        </is>
      </c>
      <c r="C3" s="3" t="n">
        <v>0.1</v>
      </c>
      <c r="D3" s="2" t="n">
        <v>100</v>
      </c>
      <c r="E3" s="4">
        <f>C3*D3</f>
        <v/>
      </c>
      <c r="F3" s="5">
        <f>E3*'_assumptions'!$B$2</f>
        <v/>
      </c>
    </row>
    <row r="4">
      <c r="A4" s="2" t="inlineStr">
        <is>
          <t>Transfer Family</t>
        </is>
      </c>
      <c r="B4" s="2" t="inlineStr">
        <is>
          <t>エンドポイント時間</t>
        </is>
      </c>
      <c r="C4" s="3" t="n">
        <v>0.3</v>
      </c>
      <c r="D4" s="2" t="n">
        <v>1460</v>
      </c>
      <c r="E4" s="4">
        <f>C4*D4</f>
        <v/>
      </c>
      <c r="F4" s="5">
        <f>E4*'_assumptions'!$B$2</f>
        <v/>
      </c>
    </row>
    <row r="5">
      <c r="A5" s="2" t="inlineStr">
        <is>
          <t>Transfer Family</t>
        </is>
      </c>
      <c r="B5" s="2" t="inlineStr">
        <is>
          <t>データ転送GB</t>
        </is>
      </c>
      <c r="C5" s="3" t="n">
        <v>0.04</v>
      </c>
      <c r="D5" s="2" t="n">
        <v>500</v>
      </c>
      <c r="E5" s="4">
        <f>C5*D5</f>
        <v/>
      </c>
      <c r="F5" s="5">
        <f>E5*'_assumptions'!$B$2</f>
        <v/>
      </c>
    </row>
    <row r="6">
      <c r="A6" s="2" t="inlineStr">
        <is>
          <t>S3</t>
        </is>
      </c>
      <c r="B6" s="2" t="inlineStr">
        <is>
          <t>ストレージGB-月</t>
        </is>
      </c>
      <c r="C6" s="3" t="n">
        <v>0.025</v>
      </c>
      <c r="D6" s="2" t="n">
        <v>500</v>
      </c>
      <c r="E6" s="4">
        <f>C6*D6</f>
        <v/>
      </c>
      <c r="F6" s="5">
        <f>E6*'_assumptions'!$B$2</f>
        <v/>
      </c>
    </row>
    <row r="7">
      <c r="A7" s="2" t="inlineStr">
        <is>
          <t>S3</t>
        </is>
      </c>
      <c r="B7" s="2" t="inlineStr">
        <is>
          <t>リクエスト概算</t>
        </is>
      </c>
      <c r="C7" s="3" t="n">
        <v>5</v>
      </c>
      <c r="D7" s="2" t="n">
        <v>1</v>
      </c>
      <c r="E7" s="4">
        <f>C7*D7</f>
        <v/>
      </c>
      <c r="F7" s="5">
        <f>E7*'_assumptions'!$B$2</f>
        <v/>
      </c>
    </row>
    <row r="8">
      <c r="A8" s="2" t="inlineStr">
        <is>
          <t>Lambda</t>
        </is>
      </c>
      <c r="B8" s="2" t="inlineStr">
        <is>
          <t>実行概算</t>
        </is>
      </c>
      <c r="C8" s="3" t="n">
        <v>30</v>
      </c>
      <c r="D8" s="2" t="n">
        <v>1</v>
      </c>
      <c r="E8" s="4">
        <f>C8*D8</f>
        <v/>
      </c>
      <c r="F8" s="5">
        <f>E8*'_assumptions'!$B$2</f>
        <v/>
      </c>
    </row>
    <row r="9">
      <c r="A9" s="2" t="inlineStr">
        <is>
          <t>Step Functions</t>
        </is>
      </c>
      <c r="B9" s="2" t="inlineStr">
        <is>
          <t>状態遷移概算</t>
        </is>
      </c>
      <c r="C9" s="3" t="n">
        <v>25</v>
      </c>
      <c r="D9" s="2" t="n">
        <v>1</v>
      </c>
      <c r="E9" s="4">
        <f>C9*D9</f>
        <v/>
      </c>
      <c r="F9" s="5">
        <f>E9*'_assumptions'!$B$2</f>
        <v/>
      </c>
    </row>
    <row r="10">
      <c r="A10" s="2" t="inlineStr">
        <is>
          <t>SQS</t>
        </is>
      </c>
      <c r="B10" s="2" t="inlineStr">
        <is>
          <t>標準キュー概算</t>
        </is>
      </c>
      <c r="C10" s="3" t="n">
        <v>8</v>
      </c>
      <c r="D10" s="2" t="n">
        <v>1</v>
      </c>
      <c r="E10" s="4">
        <f>C10*D10</f>
        <v/>
      </c>
      <c r="F10" s="5">
        <f>E10*'_assumptions'!$B$2</f>
        <v/>
      </c>
    </row>
    <row r="11">
      <c r="A11" s="2" t="inlineStr">
        <is>
          <t>DynamoDB</t>
        </is>
      </c>
      <c r="B11" s="2" t="inlineStr">
        <is>
          <t>オンデマンド概算</t>
        </is>
      </c>
      <c r="C11" s="3" t="n">
        <v>30</v>
      </c>
      <c r="D11" s="2" t="n">
        <v>1</v>
      </c>
      <c r="E11" s="4">
        <f>C11*D11</f>
        <v/>
      </c>
      <c r="F11" s="5">
        <f>E11*'_assumptions'!$B$2</f>
        <v/>
      </c>
    </row>
    <row r="12">
      <c r="A12" s="2" t="inlineStr">
        <is>
          <t>NAT Gateway</t>
        </is>
      </c>
      <c r="B12" s="2" t="inlineStr">
        <is>
          <t>時間料金</t>
        </is>
      </c>
      <c r="C12" s="3" t="n">
        <v>0.062</v>
      </c>
      <c r="D12" s="2" t="n">
        <v>1460</v>
      </c>
      <c r="E12" s="4">
        <f>C12*D12</f>
        <v/>
      </c>
      <c r="F12" s="5">
        <f>E12*'_assumptions'!$B$2</f>
        <v/>
      </c>
    </row>
    <row r="13">
      <c r="A13" s="2" t="inlineStr">
        <is>
          <t>NAT Gateway</t>
        </is>
      </c>
      <c r="B13" s="2" t="inlineStr">
        <is>
          <t>データ処理GB</t>
        </is>
      </c>
      <c r="C13" s="3" t="n">
        <v>0.062</v>
      </c>
      <c r="D13" s="2" t="n">
        <v>500</v>
      </c>
      <c r="E13" s="4">
        <f>C13*D13</f>
        <v/>
      </c>
      <c r="F13" s="5">
        <f>E13*'_assumptions'!$B$2</f>
        <v/>
      </c>
    </row>
    <row r="14">
      <c r="A14" s="2" t="inlineStr">
        <is>
          <t>Transit Gateway</t>
        </is>
      </c>
      <c r="B14" s="2" t="inlineStr">
        <is>
          <t>アタッチメント時間</t>
        </is>
      </c>
      <c r="C14" s="3" t="n">
        <v>0.07000000000000001</v>
      </c>
      <c r="D14" s="2" t="n">
        <v>730</v>
      </c>
      <c r="E14" s="4">
        <f>C14*D14</f>
        <v/>
      </c>
      <c r="F14" s="5">
        <f>E14*'_assumptions'!$B$2</f>
        <v/>
      </c>
    </row>
    <row r="15">
      <c r="A15" s="2" t="inlineStr">
        <is>
          <t>Site-to-Site VPN</t>
        </is>
      </c>
      <c r="B15" s="2" t="inlineStr">
        <is>
          <t>接続時間</t>
        </is>
      </c>
      <c r="C15" s="3" t="n">
        <v>0.05</v>
      </c>
      <c r="D15" s="2" t="n">
        <v>730</v>
      </c>
      <c r="E15" s="4">
        <f>C15*D15</f>
        <v/>
      </c>
      <c r="F15" s="5">
        <f>E15*'_assumptions'!$B$2</f>
        <v/>
      </c>
    </row>
    <row r="16">
      <c r="A16" s="2" t="inlineStr">
        <is>
          <t>Direct Connect</t>
        </is>
      </c>
      <c r="B16" s="2" t="inlineStr">
        <is>
          <t>ポート時間(1Gbps専有)</t>
        </is>
      </c>
      <c r="C16" s="3" t="n">
        <v>0.3</v>
      </c>
      <c r="D16" s="2" t="n">
        <v>730</v>
      </c>
      <c r="E16" s="4">
        <f>C16*D16</f>
        <v/>
      </c>
      <c r="F16" s="5">
        <f>E16*'_assumptions'!$B$2</f>
        <v/>
      </c>
    </row>
    <row r="17">
      <c r="A17" s="2" t="inlineStr">
        <is>
          <t>CloudWatch</t>
        </is>
      </c>
      <c r="B17" s="2" t="inlineStr">
        <is>
          <t>ログ/メトリクス概算</t>
        </is>
      </c>
      <c r="C17" s="3" t="n">
        <v>20</v>
      </c>
      <c r="D17" s="2" t="n">
        <v>1</v>
      </c>
      <c r="E17" s="4">
        <f>C17*D17</f>
        <v/>
      </c>
      <c r="F17" s="5">
        <f>E17*'_assumptions'!$B$2</f>
        <v/>
      </c>
    </row>
    <row r="18">
      <c r="A18" s="2" t="inlineStr">
        <is>
          <t>KMS</t>
        </is>
      </c>
      <c r="B18" s="2" t="inlineStr">
        <is>
          <t>キー数</t>
        </is>
      </c>
      <c r="C18" s="3" t="n">
        <v>1</v>
      </c>
      <c r="D18" s="2" t="n">
        <v>4</v>
      </c>
      <c r="E18" s="4">
        <f>C18*D18</f>
        <v/>
      </c>
      <c r="F18" s="5">
        <f>E18*'_assumptions'!$B$2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項目</t>
        </is>
      </c>
      <c r="B1" s="1" t="inlineStr">
        <is>
          <t>月額USD合計</t>
        </is>
      </c>
      <c r="C1" s="1" t="inlineStr">
        <is>
          <t>月額JPY合計</t>
        </is>
      </c>
      <c r="D1" s="1" t="inlineStr">
        <is>
          <t>年額JPY</t>
        </is>
      </c>
    </row>
    <row r="2">
      <c r="A2" s="2" t="inlineStr">
        <is>
          <t>本番環境 合計</t>
        </is>
      </c>
      <c r="B2" s="4">
        <f>SUM(monthly!E2:E18)</f>
        <v/>
      </c>
      <c r="C2" s="5">
        <f>SUM(monthly!F2:F18)</f>
        <v/>
      </c>
      <c r="D2" s="5">
        <f>C2*'_assumptions'!$B$3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</cols>
  <sheetData>
    <row r="1">
      <c r="A1" s="6" t="inlineStr">
        <is>
          <t>key</t>
        </is>
      </c>
      <c r="B1" s="6" t="inlineStr">
        <is>
          <t>value</t>
        </is>
      </c>
      <c r="C1" s="6" t="inlineStr">
        <is>
          <t>note</t>
        </is>
      </c>
    </row>
    <row r="2">
      <c r="A2" s="7" t="inlineStr">
        <is>
          <t>usd_jpy</t>
        </is>
      </c>
      <c r="B2" s="2" t="n">
        <v>155</v>
      </c>
      <c r="C2" s="7" t="inlineStr">
        <is>
          <t>為替レート（2026-06 想定、要確認）</t>
        </is>
      </c>
    </row>
    <row r="3">
      <c r="A3" s="7" t="inlineStr">
        <is>
          <t>months</t>
        </is>
      </c>
      <c r="B3" s="2" t="n">
        <v>12</v>
      </c>
      <c r="C3" s="7" t="inlineStr">
        <is>
          <t>年額換算の月数</t>
        </is>
      </c>
    </row>
    <row r="4">
      <c r="A4" s="7" t="inlineStr">
        <is>
          <t>region</t>
        </is>
      </c>
      <c r="B4" s="2" t="inlineStr">
        <is>
          <t>ap-northeast-1</t>
        </is>
      </c>
      <c r="C4" s="7" t="inlineStr">
        <is>
          <t>東京リージョン前提</t>
        </is>
      </c>
    </row>
    <row r="5">
      <c r="A5" s="7" t="inlineStr">
        <is>
          <t>env</t>
        </is>
      </c>
      <c r="B5" s="2" t="inlineStr">
        <is>
          <t>prod</t>
        </is>
      </c>
      <c r="C5" s="7" t="inlineStr">
        <is>
          <t>本番。Aurora 2-8ACU/Multi-AZ 構成</t>
        </is>
      </c>
    </row>
    <row r="6">
      <c r="A6" s="7" t="inlineStr">
        <is>
          <t>hours</t>
        </is>
      </c>
      <c r="B6" s="2" t="n">
        <v>730</v>
      </c>
      <c r="C6" s="7" t="inlineStr">
        <is>
          <t>月間稼働時間（24h×365/12）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2026-06-14T00:41:18Z</dcterms:created>
  <dcterms:modified xsi:type="dcterms:W3CDTF">2026-06-14T00:41:18Z</dcterms:modified>
</cp:coreProperties>
</file>